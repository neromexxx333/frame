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6-PDWM 2026\Jurnal\"/>
    </mc:Choice>
  </mc:AlternateContent>
  <xr:revisionPtr revIDLastSave="0" documentId="13_ncr:1_{FDEE72B3-74D2-47B5-B559-82F3F09F0D33}" xr6:coauthVersionLast="47" xr6:coauthVersionMax="47" xr10:uidLastSave="{00000000-0000-0000-0000-000000000000}"/>
  <bookViews>
    <workbookView xWindow="-98" yWindow="-98" windowWidth="21795" windowHeight="12975" tabRatio="797" activeTab="6" xr2:uid="{00000000-000D-0000-FFFF-FFFF00000000}"/>
  </bookViews>
  <sheets>
    <sheet name="Nodes" sheetId="1" r:id="rId1"/>
    <sheet name="Geometri" sheetId="2" r:id="rId2"/>
    <sheet name="Boundary_Condition" sheetId="3" r:id="rId3"/>
    <sheet name="Mutu_Beton" sheetId="4" r:id="rId4"/>
    <sheet name="Mutu_Baja" sheetId="5" r:id="rId5"/>
    <sheet name="Tulangan" sheetId="9" r:id="rId6"/>
    <sheet name="Beban_Mati" sheetId="6" r:id="rId7"/>
    <sheet name="Beban_Hidup" sheetId="7" r:id="rId8"/>
    <sheet name="Beban_Nodal" sheetId="8" r:id="rId9"/>
  </sheet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9" l="1"/>
  <c r="G8" i="2"/>
  <c r="G2" i="2"/>
  <c r="C5" i="7"/>
  <c r="C4" i="7"/>
  <c r="C3" i="7"/>
  <c r="C2" i="7"/>
  <c r="E3" i="7"/>
  <c r="E4" i="7"/>
  <c r="E5" i="7"/>
  <c r="E2" i="7"/>
  <c r="E5" i="6"/>
  <c r="E4" i="6"/>
  <c r="E3" i="6"/>
  <c r="E2" i="6"/>
  <c r="C5" i="6"/>
  <c r="C4" i="6"/>
  <c r="C3" i="6"/>
  <c r="C2" i="6"/>
  <c r="N2" i="9" l="1"/>
  <c r="K11" i="9"/>
  <c r="K10" i="9"/>
  <c r="K9" i="9"/>
  <c r="K8" i="9"/>
  <c r="K7" i="9"/>
  <c r="K3" i="9"/>
  <c r="K4" i="9"/>
  <c r="K5" i="9"/>
  <c r="K6" i="9"/>
  <c r="K2" i="9"/>
  <c r="J11" i="9"/>
  <c r="J10" i="9"/>
  <c r="J2" i="9"/>
  <c r="J3" i="9"/>
  <c r="J4" i="9"/>
  <c r="J5" i="9"/>
  <c r="J6" i="9"/>
  <c r="J7" i="9"/>
  <c r="J8" i="9"/>
  <c r="D2" i="9"/>
  <c r="E3" i="4"/>
  <c r="E4" i="4"/>
  <c r="E5" i="4"/>
  <c r="E6" i="4"/>
  <c r="E7" i="4"/>
  <c r="E8" i="4"/>
  <c r="E9" i="4"/>
  <c r="E10" i="4"/>
  <c r="E11" i="4"/>
  <c r="E12" i="4"/>
  <c r="E13" i="4"/>
  <c r="E2" i="4"/>
  <c r="I4" i="2"/>
  <c r="I3" i="2"/>
  <c r="I2" i="2"/>
  <c r="I5" i="2"/>
  <c r="I6" i="2"/>
  <c r="I7" i="2"/>
  <c r="I8" i="2"/>
  <c r="I9" i="2"/>
  <c r="I10" i="2"/>
  <c r="I11" i="2"/>
  <c r="H11" i="2"/>
  <c r="H10" i="2"/>
  <c r="H9" i="2"/>
  <c r="H8" i="2"/>
  <c r="H3" i="2"/>
  <c r="H4" i="2"/>
  <c r="H5" i="2"/>
  <c r="H6" i="2"/>
  <c r="H7" i="2"/>
  <c r="H2" i="2"/>
  <c r="G10" i="2"/>
  <c r="G11" i="2"/>
  <c r="G9" i="2"/>
  <c r="G3" i="2"/>
  <c r="G4" i="2"/>
  <c r="G5" i="2"/>
  <c r="G6" i="2"/>
  <c r="G7" i="2"/>
  <c r="H3" i="5"/>
  <c r="H4" i="5"/>
  <c r="H5" i="5"/>
  <c r="H6" i="5"/>
  <c r="H7" i="5"/>
  <c r="H8" i="5"/>
  <c r="H9" i="5"/>
  <c r="H10" i="5"/>
  <c r="H11" i="5"/>
  <c r="H2" i="5"/>
  <c r="E3" i="5"/>
  <c r="E4" i="5"/>
  <c r="E5" i="5"/>
  <c r="E6" i="5"/>
  <c r="F6" i="5" s="1"/>
  <c r="E7" i="5"/>
  <c r="E8" i="5"/>
  <c r="E9" i="5"/>
  <c r="E10" i="5"/>
  <c r="E11" i="5"/>
  <c r="E2" i="5"/>
  <c r="B3" i="5"/>
  <c r="B4" i="5"/>
  <c r="B5" i="5"/>
  <c r="B6" i="5"/>
  <c r="B7" i="5"/>
  <c r="B8" i="5"/>
  <c r="B9" i="5"/>
  <c r="B10" i="5"/>
  <c r="B11" i="5"/>
  <c r="B2" i="5"/>
  <c r="I11" i="5" l="1"/>
  <c r="I10" i="5"/>
  <c r="I9" i="5"/>
  <c r="I8" i="5"/>
  <c r="I7" i="5"/>
  <c r="I6" i="5"/>
  <c r="I5" i="5"/>
  <c r="I4" i="5"/>
  <c r="I3" i="5"/>
  <c r="I2" i="5"/>
  <c r="F11" i="5"/>
  <c r="F10" i="5"/>
  <c r="F9" i="5"/>
  <c r="F8" i="5"/>
  <c r="F7" i="5"/>
  <c r="F5" i="5"/>
  <c r="F4" i="5"/>
  <c r="F3" i="5"/>
  <c r="F2" i="5"/>
  <c r="C3" i="5"/>
  <c r="C4" i="5"/>
  <c r="C5" i="5"/>
  <c r="C6" i="5"/>
  <c r="C7" i="5"/>
  <c r="C8" i="5"/>
  <c r="C9" i="5"/>
  <c r="C10" i="5"/>
  <c r="C11" i="5"/>
  <c r="C2" i="5"/>
  <c r="E3" i="9" l="1"/>
  <c r="E4" i="9"/>
  <c r="E5" i="9"/>
  <c r="E6" i="9"/>
  <c r="E7" i="9"/>
  <c r="E8" i="9"/>
  <c r="E9" i="9"/>
  <c r="E10" i="9"/>
  <c r="E11" i="9"/>
  <c r="E2" i="9"/>
  <c r="D3" i="9"/>
  <c r="D4" i="9"/>
  <c r="D5" i="9"/>
  <c r="D6" i="9"/>
  <c r="D7" i="9"/>
  <c r="D9" i="9"/>
  <c r="D10" i="9"/>
  <c r="D11" i="9"/>
  <c r="N3" i="9"/>
  <c r="N4" i="9"/>
  <c r="N5" i="9"/>
  <c r="N6" i="9"/>
  <c r="N7" i="9"/>
  <c r="N8" i="9"/>
  <c r="N9" i="9"/>
  <c r="N10" i="9"/>
  <c r="N11" i="9"/>
  <c r="J9" i="9"/>
  <c r="J3" i="2"/>
  <c r="J4" i="2"/>
  <c r="J5" i="2"/>
  <c r="J6" i="2"/>
  <c r="J7" i="2"/>
  <c r="J8" i="2"/>
  <c r="J9" i="2"/>
  <c r="J10" i="2"/>
  <c r="J11" i="2"/>
  <c r="J2" i="2"/>
</calcChain>
</file>

<file path=xl/sharedStrings.xml><?xml version="1.0" encoding="utf-8"?>
<sst xmlns="http://schemas.openxmlformats.org/spreadsheetml/2006/main" count="126" uniqueCount="58">
  <si>
    <t>Node_ID</t>
  </si>
  <si>
    <t>Fx (kN)</t>
  </si>
  <si>
    <t>Fy (kN)</t>
  </si>
  <si>
    <t>Mz (kN.m)</t>
  </si>
  <si>
    <t>X (mm)</t>
  </si>
  <si>
    <t>Y (mm)</t>
  </si>
  <si>
    <t>Element_ID</t>
  </si>
  <si>
    <t>Node_Start</t>
  </si>
  <si>
    <t>Node_End</t>
  </si>
  <si>
    <t>Area (mm²)</t>
  </si>
  <si>
    <t>Inertia (mm⁴)</t>
  </si>
  <si>
    <t>E_Mean (MPa)</t>
  </si>
  <si>
    <t>Restrain_X</t>
  </si>
  <si>
    <t>Restrain_Y</t>
  </si>
  <si>
    <t>Restrain_Rz</t>
  </si>
  <si>
    <t>Distribution</t>
  </si>
  <si>
    <t>Deterministic (MPa)</t>
  </si>
  <si>
    <t>lognormal</t>
  </si>
  <si>
    <t>normal</t>
  </si>
  <si>
    <t>Mean (kN/m)</t>
  </si>
  <si>
    <t>StdDev (kN/m)</t>
  </si>
  <si>
    <t>Deterministic (kN/m)</t>
  </si>
  <si>
    <t>Mean_tarik (MPa)</t>
  </si>
  <si>
    <t>StdDev_tarik (MPa)</t>
  </si>
  <si>
    <t>Mean_tekan (MPa)</t>
  </si>
  <si>
    <t>StdDev_tekan (MPa)</t>
  </si>
  <si>
    <t>Deterministic_tarik (MPa)</t>
  </si>
  <si>
    <t>Deterministic_tekan (MPa)</t>
  </si>
  <si>
    <t>du_tarik (mm)</t>
  </si>
  <si>
    <t>du_tekan (mm)</t>
  </si>
  <si>
    <t>n_tarik (bh)</t>
  </si>
  <si>
    <t>n_tekan (bh)</t>
  </si>
  <si>
    <t>As_tarik (mm2)</t>
  </si>
  <si>
    <t>As_tekan (mm2)</t>
  </si>
  <si>
    <t>du_geser (mm)</t>
  </si>
  <si>
    <t>n_geser (mm)</t>
  </si>
  <si>
    <t>As_geser (mm2)</t>
  </si>
  <si>
    <t>Spasi_geser (mm)</t>
  </si>
  <si>
    <t>d_tarik (mm)</t>
  </si>
  <si>
    <t>d_tekan (mm)</t>
  </si>
  <si>
    <t>b(mm)</t>
  </si>
  <si>
    <t>h(mm)</t>
  </si>
  <si>
    <t>ds_tarik (mm)</t>
  </si>
  <si>
    <t>ds_tekan (mm)</t>
  </si>
  <si>
    <t>fc_Mean (MPa)</t>
  </si>
  <si>
    <t>fc_StdDev (MPa)</t>
  </si>
  <si>
    <t>fc_Deterministic (MPa)</t>
  </si>
  <si>
    <t>Distribution_tarik</t>
  </si>
  <si>
    <t>Distribution_tekan</t>
  </si>
  <si>
    <t>Kode</t>
  </si>
  <si>
    <t>K</t>
  </si>
  <si>
    <t>B</t>
  </si>
  <si>
    <t>Mean_geser (MPa)</t>
  </si>
  <si>
    <t>StdDev_geser (MPa)</t>
  </si>
  <si>
    <t>Distribution_geser</t>
  </si>
  <si>
    <t>Deterministic_geser (MPa)</t>
  </si>
  <si>
    <t>fb_mean</t>
  </si>
  <si>
    <t>fb_stdev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</si>
</sst>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9" sqref="B9:B10"/>
    </sheetView>
  </sheetViews>
  <sheetFormatPr defaultRowHeight="14.25" x14ac:dyDescent="0.45"/>
  <cols>
    <col min="1" max="1" width="12" customWidth="1"/>
    <col min="2" max="3" width="15" customWidth="1"/>
  </cols>
  <sheetData>
    <row r="1" spans="1:3" x14ac:dyDescent="0.45">
      <c r="A1" s="1" t="s">
        <v>0</v>
      </c>
      <c r="B1" s="1" t="s">
        <v>4</v>
      </c>
      <c r="C1" s="1" t="s">
        <v>5</v>
      </c>
    </row>
    <row r="2" spans="1:3" x14ac:dyDescent="0.45">
      <c r="A2" s="3">
        <v>1</v>
      </c>
      <c r="B2" s="3">
        <v>0</v>
      </c>
      <c r="C2" s="3">
        <v>0</v>
      </c>
    </row>
    <row r="3" spans="1:3" x14ac:dyDescent="0.45">
      <c r="A3" s="3">
        <v>2</v>
      </c>
      <c r="B3" s="3">
        <v>6000</v>
      </c>
      <c r="C3" s="3">
        <v>0</v>
      </c>
    </row>
    <row r="4" spans="1:3" x14ac:dyDescent="0.45">
      <c r="A4" s="3">
        <v>3</v>
      </c>
      <c r="B4" s="3">
        <v>11000</v>
      </c>
      <c r="C4" s="3">
        <v>0</v>
      </c>
    </row>
    <row r="5" spans="1:3" x14ac:dyDescent="0.45">
      <c r="A5" s="3">
        <v>4</v>
      </c>
      <c r="B5" s="3">
        <v>0</v>
      </c>
      <c r="C5" s="3">
        <v>4000</v>
      </c>
    </row>
    <row r="6" spans="1:3" x14ac:dyDescent="0.45">
      <c r="A6" s="3">
        <v>5</v>
      </c>
      <c r="B6" s="3">
        <v>6000</v>
      </c>
      <c r="C6" s="3">
        <v>4000</v>
      </c>
    </row>
    <row r="7" spans="1:3" x14ac:dyDescent="0.45">
      <c r="A7" s="3">
        <v>6</v>
      </c>
      <c r="B7" s="3">
        <v>11000</v>
      </c>
      <c r="C7" s="3">
        <v>4000</v>
      </c>
    </row>
    <row r="8" spans="1:3" x14ac:dyDescent="0.45">
      <c r="A8" s="3">
        <v>7</v>
      </c>
      <c r="B8" s="3">
        <v>0</v>
      </c>
      <c r="C8" s="3">
        <v>8000</v>
      </c>
    </row>
    <row r="9" spans="1:3" x14ac:dyDescent="0.45">
      <c r="A9" s="3">
        <v>8</v>
      </c>
      <c r="B9" s="3">
        <v>6000</v>
      </c>
      <c r="C9" s="3">
        <v>8000</v>
      </c>
    </row>
    <row r="10" spans="1:3" x14ac:dyDescent="0.45">
      <c r="A10" s="3">
        <v>9</v>
      </c>
      <c r="B10" s="3">
        <v>11000</v>
      </c>
      <c r="C10" s="3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I17" sqref="I16:I17"/>
    </sheetView>
  </sheetViews>
  <sheetFormatPr defaultRowHeight="14.25" x14ac:dyDescent="0.45"/>
  <cols>
    <col min="1" max="1" width="12" customWidth="1"/>
    <col min="2" max="2" width="6.73046875" customWidth="1"/>
    <col min="3" max="6" width="12" customWidth="1"/>
    <col min="7" max="9" width="15" customWidth="1"/>
    <col min="10" max="10" width="17" bestFit="1" customWidth="1"/>
  </cols>
  <sheetData>
    <row r="1" spans="1:12" x14ac:dyDescent="0.45">
      <c r="A1" s="1" t="s">
        <v>6</v>
      </c>
      <c r="B1" s="1" t="s">
        <v>49</v>
      </c>
      <c r="C1" s="1" t="s">
        <v>7</v>
      </c>
      <c r="D1" s="1" t="s">
        <v>8</v>
      </c>
      <c r="E1" s="1" t="s">
        <v>40</v>
      </c>
      <c r="F1" s="1" t="s">
        <v>41</v>
      </c>
      <c r="G1" s="1" t="s">
        <v>9</v>
      </c>
      <c r="H1" s="1" t="s">
        <v>10</v>
      </c>
      <c r="I1" s="1" t="s">
        <v>11</v>
      </c>
      <c r="J1" s="1" t="s">
        <v>16</v>
      </c>
      <c r="K1" s="1" t="s">
        <v>56</v>
      </c>
      <c r="L1" s="1" t="s">
        <v>57</v>
      </c>
    </row>
    <row r="2" spans="1:12" x14ac:dyDescent="0.45">
      <c r="A2" s="3">
        <v>1</v>
      </c>
      <c r="B2" s="3" t="s">
        <v>50</v>
      </c>
      <c r="C2" s="3">
        <v>1</v>
      </c>
      <c r="D2" s="3">
        <v>4</v>
      </c>
      <c r="E2" s="2">
        <v>300</v>
      </c>
      <c r="F2" s="2">
        <v>300</v>
      </c>
      <c r="G2" s="2">
        <f>E2*F2</f>
        <v>90000</v>
      </c>
      <c r="H2" s="7">
        <f>(1/12)*E2*F2^3</f>
        <v>675000000</v>
      </c>
      <c r="I2" s="2">
        <f>4700*SQRT(Mutu_Beton!$B$2)</f>
        <v>20204.534144592399</v>
      </c>
      <c r="J2" s="2">
        <f>4700*SQRT(Mutu_Beton!$E$2)</f>
        <v>17928.624892924196</v>
      </c>
      <c r="K2" s="2">
        <v>0.7</v>
      </c>
      <c r="L2" s="2">
        <v>0.2</v>
      </c>
    </row>
    <row r="3" spans="1:12" x14ac:dyDescent="0.45">
      <c r="A3" s="3">
        <v>2</v>
      </c>
      <c r="B3" s="3" t="s">
        <v>50</v>
      </c>
      <c r="C3" s="3">
        <v>2</v>
      </c>
      <c r="D3" s="3">
        <v>5</v>
      </c>
      <c r="E3" s="2">
        <v>300</v>
      </c>
      <c r="F3" s="2">
        <v>300</v>
      </c>
      <c r="G3" s="2">
        <f t="shared" ref="G3:G7" si="0">E3*F3</f>
        <v>90000</v>
      </c>
      <c r="H3" s="7">
        <f t="shared" ref="H3:H7" si="1">(1/12)*E3*F3^3</f>
        <v>675000000</v>
      </c>
      <c r="I3" s="2">
        <f>4700*SQRT(Mutu_Beton!$B$2)</f>
        <v>20204.534144592399</v>
      </c>
      <c r="J3" s="2">
        <f>4700*SQRT(Mutu_Beton!$E$2)</f>
        <v>17928.624892924196</v>
      </c>
      <c r="K3" s="2">
        <v>0.7</v>
      </c>
      <c r="L3" s="2">
        <v>0.2</v>
      </c>
    </row>
    <row r="4" spans="1:12" x14ac:dyDescent="0.45">
      <c r="A4" s="3">
        <v>3</v>
      </c>
      <c r="B4" s="3" t="s">
        <v>50</v>
      </c>
      <c r="C4" s="3">
        <v>3</v>
      </c>
      <c r="D4" s="3">
        <v>6</v>
      </c>
      <c r="E4" s="2">
        <v>300</v>
      </c>
      <c r="F4" s="2">
        <v>300</v>
      </c>
      <c r="G4" s="2">
        <f t="shared" si="0"/>
        <v>90000</v>
      </c>
      <c r="H4" s="7">
        <f t="shared" si="1"/>
        <v>675000000</v>
      </c>
      <c r="I4" s="2">
        <f>4700*SQRT(Mutu_Beton!$B$2)</f>
        <v>20204.534144592399</v>
      </c>
      <c r="J4" s="2">
        <f>4700*SQRT(Mutu_Beton!$E$2)</f>
        <v>17928.624892924196</v>
      </c>
      <c r="K4" s="2">
        <v>0.7</v>
      </c>
      <c r="L4" s="2">
        <v>0.2</v>
      </c>
    </row>
    <row r="5" spans="1:12" x14ac:dyDescent="0.45">
      <c r="A5" s="3">
        <v>4</v>
      </c>
      <c r="B5" s="3" t="s">
        <v>50</v>
      </c>
      <c r="C5" s="3">
        <v>4</v>
      </c>
      <c r="D5" s="3">
        <v>7</v>
      </c>
      <c r="E5" s="2">
        <v>300</v>
      </c>
      <c r="F5" s="2">
        <v>300</v>
      </c>
      <c r="G5" s="2">
        <f t="shared" si="0"/>
        <v>90000</v>
      </c>
      <c r="H5" s="7">
        <f t="shared" si="1"/>
        <v>675000000</v>
      </c>
      <c r="I5" s="2">
        <f>4700*SQRT(Mutu_Beton!$B$2)</f>
        <v>20204.534144592399</v>
      </c>
      <c r="J5" s="2">
        <f>4700*SQRT(Mutu_Beton!$E$2)</f>
        <v>17928.624892924196</v>
      </c>
      <c r="K5" s="2">
        <v>0.7</v>
      </c>
      <c r="L5" s="2">
        <v>0.2</v>
      </c>
    </row>
    <row r="6" spans="1:12" x14ac:dyDescent="0.45">
      <c r="A6" s="3">
        <v>5</v>
      </c>
      <c r="B6" s="3" t="s">
        <v>50</v>
      </c>
      <c r="C6" s="3">
        <v>5</v>
      </c>
      <c r="D6" s="3">
        <v>8</v>
      </c>
      <c r="E6" s="2">
        <v>300</v>
      </c>
      <c r="F6" s="2">
        <v>300</v>
      </c>
      <c r="G6" s="2">
        <f t="shared" si="0"/>
        <v>90000</v>
      </c>
      <c r="H6" s="7">
        <f t="shared" si="1"/>
        <v>675000000</v>
      </c>
      <c r="I6" s="2">
        <f>4700*SQRT(Mutu_Beton!$B$2)</f>
        <v>20204.534144592399</v>
      </c>
      <c r="J6" s="2">
        <f>4700*SQRT(Mutu_Beton!$E$2)</f>
        <v>17928.624892924196</v>
      </c>
      <c r="K6" s="2">
        <v>0.7</v>
      </c>
      <c r="L6" s="2">
        <v>0.2</v>
      </c>
    </row>
    <row r="7" spans="1:12" x14ac:dyDescent="0.45">
      <c r="A7" s="3">
        <v>6</v>
      </c>
      <c r="B7" s="3" t="s">
        <v>50</v>
      </c>
      <c r="C7" s="3">
        <v>6</v>
      </c>
      <c r="D7" s="3">
        <v>9</v>
      </c>
      <c r="E7" s="2">
        <v>300</v>
      </c>
      <c r="F7" s="2">
        <v>300</v>
      </c>
      <c r="G7" s="2">
        <f t="shared" si="0"/>
        <v>90000</v>
      </c>
      <c r="H7" s="7">
        <f t="shared" si="1"/>
        <v>675000000</v>
      </c>
      <c r="I7" s="2">
        <f>4700*SQRT(Mutu_Beton!$B$2)</f>
        <v>20204.534144592399</v>
      </c>
      <c r="J7" s="2">
        <f>4700*SQRT(Mutu_Beton!$E$2)</f>
        <v>17928.624892924196</v>
      </c>
      <c r="K7" s="2">
        <v>0.7</v>
      </c>
      <c r="L7" s="2">
        <v>0.2</v>
      </c>
    </row>
    <row r="8" spans="1:12" x14ac:dyDescent="0.45">
      <c r="A8" s="25">
        <v>7</v>
      </c>
      <c r="B8" s="25" t="s">
        <v>51</v>
      </c>
      <c r="C8" s="25">
        <v>4</v>
      </c>
      <c r="D8" s="25">
        <v>5</v>
      </c>
      <c r="E8" s="26">
        <v>300</v>
      </c>
      <c r="F8" s="26">
        <v>500</v>
      </c>
      <c r="G8" s="26">
        <f>E8*F8</f>
        <v>150000</v>
      </c>
      <c r="H8" s="27">
        <f>(1/12)*E8*F8^3</f>
        <v>3125000000</v>
      </c>
      <c r="I8" s="26">
        <f>4700*SQRT(Mutu_Beton!$B$2)</f>
        <v>20204.534144592399</v>
      </c>
      <c r="J8" s="26">
        <f>4700*SQRT(Mutu_Beton!$E$2)</f>
        <v>17928.624892924196</v>
      </c>
      <c r="K8" s="26">
        <v>0.7</v>
      </c>
      <c r="L8" s="26">
        <v>0.2</v>
      </c>
    </row>
    <row r="9" spans="1:12" x14ac:dyDescent="0.45">
      <c r="A9" s="25">
        <v>8</v>
      </c>
      <c r="B9" s="25" t="s">
        <v>51</v>
      </c>
      <c r="C9" s="25">
        <v>5</v>
      </c>
      <c r="D9" s="25">
        <v>6</v>
      </c>
      <c r="E9" s="26">
        <v>300</v>
      </c>
      <c r="F9" s="26">
        <v>500</v>
      </c>
      <c r="G9" s="26">
        <f>E9*F9</f>
        <v>150000</v>
      </c>
      <c r="H9" s="27">
        <f>(1/12)*E9*F9^3</f>
        <v>3125000000</v>
      </c>
      <c r="I9" s="26">
        <f>4700*SQRT(Mutu_Beton!$B$2)</f>
        <v>20204.534144592399</v>
      </c>
      <c r="J9" s="26">
        <f>4700*SQRT(Mutu_Beton!$E$2)</f>
        <v>17928.624892924196</v>
      </c>
      <c r="K9" s="26">
        <v>0.7</v>
      </c>
      <c r="L9" s="26">
        <v>0.2</v>
      </c>
    </row>
    <row r="10" spans="1:12" x14ac:dyDescent="0.45">
      <c r="A10" s="20">
        <v>9</v>
      </c>
      <c r="B10" s="20" t="s">
        <v>51</v>
      </c>
      <c r="C10" s="20">
        <v>7</v>
      </c>
      <c r="D10" s="20">
        <v>8</v>
      </c>
      <c r="E10" s="23">
        <v>250</v>
      </c>
      <c r="F10" s="23">
        <v>350</v>
      </c>
      <c r="G10" s="23">
        <f t="shared" ref="G10:G11" si="2">E10*F10</f>
        <v>87500</v>
      </c>
      <c r="H10" s="24">
        <f>(1/12)*E10*F10^3</f>
        <v>893229166.66666663</v>
      </c>
      <c r="I10" s="23">
        <f>4700*SQRT(Mutu_Beton!$B$2)</f>
        <v>20204.534144592399</v>
      </c>
      <c r="J10" s="23">
        <f>4700*SQRT(Mutu_Beton!$E$2)</f>
        <v>17928.624892924196</v>
      </c>
      <c r="K10" s="23">
        <v>0.7</v>
      </c>
      <c r="L10" s="23">
        <v>0.2</v>
      </c>
    </row>
    <row r="11" spans="1:12" x14ac:dyDescent="0.45">
      <c r="A11" s="20">
        <v>10</v>
      </c>
      <c r="B11" s="20" t="s">
        <v>51</v>
      </c>
      <c r="C11" s="20">
        <v>8</v>
      </c>
      <c r="D11" s="20">
        <v>9</v>
      </c>
      <c r="E11" s="23">
        <v>250</v>
      </c>
      <c r="F11" s="23">
        <v>350</v>
      </c>
      <c r="G11" s="23">
        <f t="shared" si="2"/>
        <v>87500</v>
      </c>
      <c r="H11" s="24">
        <f>(1/12)*E11*F11^3</f>
        <v>893229166.66666663</v>
      </c>
      <c r="I11" s="23">
        <f>4700*SQRT(Mutu_Beton!$B$2)</f>
        <v>20204.534144592399</v>
      </c>
      <c r="J11" s="23">
        <f>4700*SQRT(Mutu_Beton!$E$2)</f>
        <v>17928.624892924196</v>
      </c>
      <c r="K11" s="23">
        <v>0.7</v>
      </c>
      <c r="L11" s="23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G7" sqref="G7"/>
    </sheetView>
  </sheetViews>
  <sheetFormatPr defaultRowHeight="14.25" x14ac:dyDescent="0.45"/>
  <cols>
    <col min="1" max="1" width="12" customWidth="1"/>
    <col min="2" max="4" width="15" customWidth="1"/>
  </cols>
  <sheetData>
    <row r="1" spans="1:4" x14ac:dyDescent="0.45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45">
      <c r="A2" s="4">
        <v>1</v>
      </c>
      <c r="B2" s="4">
        <v>1</v>
      </c>
      <c r="C2" s="4">
        <v>1</v>
      </c>
      <c r="D2" s="4">
        <v>1</v>
      </c>
    </row>
    <row r="3" spans="1:4" x14ac:dyDescent="0.45">
      <c r="A3" s="4">
        <v>2</v>
      </c>
      <c r="B3" s="4">
        <v>1</v>
      </c>
      <c r="C3" s="4">
        <v>1</v>
      </c>
      <c r="D3" s="4">
        <v>1</v>
      </c>
    </row>
    <row r="4" spans="1:4" x14ac:dyDescent="0.45">
      <c r="A4" s="4">
        <v>3</v>
      </c>
      <c r="B4" s="4">
        <v>1</v>
      </c>
      <c r="C4" s="4">
        <v>1</v>
      </c>
      <c r="D4" s="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E2" sqref="E2"/>
    </sheetView>
  </sheetViews>
  <sheetFormatPr defaultRowHeight="14.25" x14ac:dyDescent="0.45"/>
  <cols>
    <col min="1" max="1" width="10" customWidth="1"/>
    <col min="2" max="4" width="15" customWidth="1"/>
    <col min="5" max="5" width="21.59765625" customWidth="1"/>
  </cols>
  <sheetData>
    <row r="1" spans="1:5" x14ac:dyDescent="0.45">
      <c r="A1" s="1" t="s">
        <v>6</v>
      </c>
      <c r="B1" s="1" t="s">
        <v>44</v>
      </c>
      <c r="C1" s="1" t="s">
        <v>45</v>
      </c>
      <c r="D1" s="1" t="s">
        <v>15</v>
      </c>
      <c r="E1" s="1" t="s">
        <v>46</v>
      </c>
    </row>
    <row r="2" spans="1:5" x14ac:dyDescent="0.45">
      <c r="A2" s="2">
        <v>1</v>
      </c>
      <c r="B2" s="3">
        <v>18.48</v>
      </c>
      <c r="C2" s="8">
        <v>3.32</v>
      </c>
      <c r="D2" s="3" t="s">
        <v>17</v>
      </c>
      <c r="E2" s="8">
        <f>B2/1.27</f>
        <v>14.551181102362206</v>
      </c>
    </row>
    <row r="3" spans="1:5" x14ac:dyDescent="0.45">
      <c r="A3" s="2">
        <v>2</v>
      </c>
      <c r="B3" s="3">
        <v>18.48</v>
      </c>
      <c r="C3" s="8">
        <v>3.32</v>
      </c>
      <c r="D3" s="3" t="s">
        <v>17</v>
      </c>
      <c r="E3" s="8">
        <f t="shared" ref="E3:E13" si="0">B3/1.27</f>
        <v>14.551181102362206</v>
      </c>
    </row>
    <row r="4" spans="1:5" x14ac:dyDescent="0.45">
      <c r="A4" s="2">
        <v>3</v>
      </c>
      <c r="B4" s="3">
        <v>18.48</v>
      </c>
      <c r="C4" s="8">
        <v>3.32</v>
      </c>
      <c r="D4" s="3" t="s">
        <v>17</v>
      </c>
      <c r="E4" s="8">
        <f t="shared" si="0"/>
        <v>14.551181102362206</v>
      </c>
    </row>
    <row r="5" spans="1:5" x14ac:dyDescent="0.45">
      <c r="A5" s="2">
        <v>4</v>
      </c>
      <c r="B5" s="3">
        <v>18.48</v>
      </c>
      <c r="C5" s="8">
        <v>3.32</v>
      </c>
      <c r="D5" s="3" t="s">
        <v>17</v>
      </c>
      <c r="E5" s="8">
        <f t="shared" si="0"/>
        <v>14.551181102362206</v>
      </c>
    </row>
    <row r="6" spans="1:5" x14ac:dyDescent="0.45">
      <c r="A6" s="2">
        <v>5</v>
      </c>
      <c r="B6" s="3">
        <v>18.48</v>
      </c>
      <c r="C6" s="8">
        <v>3.32</v>
      </c>
      <c r="D6" s="3" t="s">
        <v>17</v>
      </c>
      <c r="E6" s="8">
        <f t="shared" si="0"/>
        <v>14.551181102362206</v>
      </c>
    </row>
    <row r="7" spans="1:5" x14ac:dyDescent="0.45">
      <c r="A7" s="2">
        <v>6</v>
      </c>
      <c r="B7" s="3">
        <v>18.48</v>
      </c>
      <c r="C7" s="8">
        <v>3.32</v>
      </c>
      <c r="D7" s="3" t="s">
        <v>17</v>
      </c>
      <c r="E7" s="8">
        <f t="shared" si="0"/>
        <v>14.551181102362206</v>
      </c>
    </row>
    <row r="8" spans="1:5" x14ac:dyDescent="0.45">
      <c r="A8" s="2">
        <v>7</v>
      </c>
      <c r="B8" s="3">
        <v>18.48</v>
      </c>
      <c r="C8" s="8">
        <v>3.32</v>
      </c>
      <c r="D8" s="3" t="s">
        <v>17</v>
      </c>
      <c r="E8" s="8">
        <f t="shared" si="0"/>
        <v>14.551181102362206</v>
      </c>
    </row>
    <row r="9" spans="1:5" x14ac:dyDescent="0.45">
      <c r="A9" s="2">
        <v>8</v>
      </c>
      <c r="B9" s="3">
        <v>18.48</v>
      </c>
      <c r="C9" s="8">
        <v>3.32</v>
      </c>
      <c r="D9" s="3" t="s">
        <v>17</v>
      </c>
      <c r="E9" s="8">
        <f t="shared" si="0"/>
        <v>14.551181102362206</v>
      </c>
    </row>
    <row r="10" spans="1:5" x14ac:dyDescent="0.45">
      <c r="A10" s="2">
        <v>9</v>
      </c>
      <c r="B10" s="3">
        <v>18.48</v>
      </c>
      <c r="C10" s="8">
        <v>3.32</v>
      </c>
      <c r="D10" s="3" t="s">
        <v>17</v>
      </c>
      <c r="E10" s="8">
        <f t="shared" si="0"/>
        <v>14.551181102362206</v>
      </c>
    </row>
    <row r="11" spans="1:5" x14ac:dyDescent="0.45">
      <c r="A11" s="2">
        <v>10</v>
      </c>
      <c r="B11" s="3">
        <v>18.48</v>
      </c>
      <c r="C11" s="8">
        <v>3.32</v>
      </c>
      <c r="D11" s="3" t="s">
        <v>17</v>
      </c>
      <c r="E11" s="8">
        <f t="shared" si="0"/>
        <v>14.551181102362206</v>
      </c>
    </row>
    <row r="12" spans="1:5" x14ac:dyDescent="0.45">
      <c r="A12" s="2">
        <v>11</v>
      </c>
      <c r="B12" s="3">
        <v>18.48</v>
      </c>
      <c r="C12" s="8">
        <v>3.32</v>
      </c>
      <c r="D12" s="3" t="s">
        <v>17</v>
      </c>
      <c r="E12" s="8">
        <f t="shared" si="0"/>
        <v>14.551181102362206</v>
      </c>
    </row>
    <row r="13" spans="1:5" x14ac:dyDescent="0.45">
      <c r="A13" s="2">
        <v>12</v>
      </c>
      <c r="B13" s="3">
        <v>18.48</v>
      </c>
      <c r="C13" s="8">
        <v>3.32</v>
      </c>
      <c r="D13" s="3" t="s">
        <v>17</v>
      </c>
      <c r="E13" s="8">
        <f t="shared" si="0"/>
        <v>14.551181102362206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zoomScale="85" zoomScaleNormal="85" workbookViewId="0">
      <selection activeCell="H26" sqref="H26"/>
    </sheetView>
  </sheetViews>
  <sheetFormatPr defaultRowHeight="14.25" x14ac:dyDescent="0.45"/>
  <cols>
    <col min="1" max="1" width="12" customWidth="1"/>
    <col min="2" max="2" width="15.33203125" bestFit="1" customWidth="1"/>
    <col min="3" max="3" width="16.46484375" bestFit="1" customWidth="1"/>
    <col min="4" max="4" width="15" customWidth="1"/>
    <col min="5" max="5" width="16.46484375" customWidth="1"/>
    <col min="6" max="6" width="17.46484375" bestFit="1" customWidth="1"/>
    <col min="7" max="10" width="17.796875" customWidth="1"/>
    <col min="11" max="11" width="21.6640625" bestFit="1" customWidth="1"/>
    <col min="12" max="13" width="22.59765625" bestFit="1" customWidth="1"/>
  </cols>
  <sheetData>
    <row r="1" spans="1:13" x14ac:dyDescent="0.45">
      <c r="A1" s="1" t="s">
        <v>6</v>
      </c>
      <c r="B1" s="1" t="s">
        <v>22</v>
      </c>
      <c r="C1" s="1" t="s">
        <v>23</v>
      </c>
      <c r="D1" s="1" t="s">
        <v>47</v>
      </c>
      <c r="E1" s="1" t="s">
        <v>24</v>
      </c>
      <c r="F1" s="1" t="s">
        <v>25</v>
      </c>
      <c r="G1" s="1" t="s">
        <v>48</v>
      </c>
      <c r="H1" s="1" t="s">
        <v>52</v>
      </c>
      <c r="I1" s="1" t="s">
        <v>53</v>
      </c>
      <c r="J1" s="1" t="s">
        <v>54</v>
      </c>
      <c r="K1" s="1" t="s">
        <v>26</v>
      </c>
      <c r="L1" s="1" t="s">
        <v>27</v>
      </c>
      <c r="M1" s="1" t="s">
        <v>55</v>
      </c>
    </row>
    <row r="2" spans="1:13" x14ac:dyDescent="0.45">
      <c r="A2" s="2">
        <v>1</v>
      </c>
      <c r="B2" s="28">
        <f>1.12*K2</f>
        <v>358.40000000000003</v>
      </c>
      <c r="C2" s="8">
        <f>B2*5%</f>
        <v>17.920000000000002</v>
      </c>
      <c r="D2" s="3" t="s">
        <v>18</v>
      </c>
      <c r="E2" s="19">
        <f>1.12*L2</f>
        <v>358.40000000000003</v>
      </c>
      <c r="F2" s="8">
        <f>E2*5%</f>
        <v>17.920000000000002</v>
      </c>
      <c r="G2" s="3" t="s">
        <v>18</v>
      </c>
      <c r="H2" s="21">
        <f>1.12*M2</f>
        <v>268.8</v>
      </c>
      <c r="I2" s="8">
        <f>H2*5%</f>
        <v>13.440000000000001</v>
      </c>
      <c r="J2" s="3" t="s">
        <v>18</v>
      </c>
      <c r="K2" s="9">
        <v>320</v>
      </c>
      <c r="L2" s="10">
        <v>320</v>
      </c>
      <c r="M2" s="11">
        <v>240</v>
      </c>
    </row>
    <row r="3" spans="1:13" x14ac:dyDescent="0.45">
      <c r="A3" s="2">
        <v>2</v>
      </c>
      <c r="B3" s="28">
        <f t="shared" ref="B3:B11" si="0">1.12*K3</f>
        <v>358.40000000000003</v>
      </c>
      <c r="C3" s="8">
        <f t="shared" ref="C3:C11" si="1">B3*5%</f>
        <v>17.920000000000002</v>
      </c>
      <c r="D3" s="3" t="s">
        <v>18</v>
      </c>
      <c r="E3" s="19">
        <f t="shared" ref="E3:E11" si="2">1.12*L3</f>
        <v>358.40000000000003</v>
      </c>
      <c r="F3" s="8">
        <f t="shared" ref="F3:F11" si="3">E3*5%</f>
        <v>17.920000000000002</v>
      </c>
      <c r="G3" s="3" t="s">
        <v>18</v>
      </c>
      <c r="H3" s="21">
        <f t="shared" ref="H3:H11" si="4">1.12*M3</f>
        <v>268.8</v>
      </c>
      <c r="I3" s="8">
        <f t="shared" ref="I3:I11" si="5">H3*5%</f>
        <v>13.440000000000001</v>
      </c>
      <c r="J3" s="3" t="s">
        <v>18</v>
      </c>
      <c r="K3" s="9">
        <v>320</v>
      </c>
      <c r="L3" s="10">
        <v>320</v>
      </c>
      <c r="M3" s="11">
        <v>240</v>
      </c>
    </row>
    <row r="4" spans="1:13" x14ac:dyDescent="0.45">
      <c r="A4" s="2">
        <v>3</v>
      </c>
      <c r="B4" s="28">
        <f t="shared" si="0"/>
        <v>358.40000000000003</v>
      </c>
      <c r="C4" s="8">
        <f t="shared" si="1"/>
        <v>17.920000000000002</v>
      </c>
      <c r="D4" s="3" t="s">
        <v>18</v>
      </c>
      <c r="E4" s="19">
        <f t="shared" si="2"/>
        <v>358.40000000000003</v>
      </c>
      <c r="F4" s="8">
        <f t="shared" si="3"/>
        <v>17.920000000000002</v>
      </c>
      <c r="G4" s="3" t="s">
        <v>18</v>
      </c>
      <c r="H4" s="21">
        <f t="shared" si="4"/>
        <v>268.8</v>
      </c>
      <c r="I4" s="8">
        <f t="shared" si="5"/>
        <v>13.440000000000001</v>
      </c>
      <c r="J4" s="3" t="s">
        <v>18</v>
      </c>
      <c r="K4" s="9">
        <v>320</v>
      </c>
      <c r="L4" s="10">
        <v>320</v>
      </c>
      <c r="M4" s="11">
        <v>240</v>
      </c>
    </row>
    <row r="5" spans="1:13" x14ac:dyDescent="0.45">
      <c r="A5" s="2">
        <v>4</v>
      </c>
      <c r="B5" s="28">
        <f t="shared" si="0"/>
        <v>358.40000000000003</v>
      </c>
      <c r="C5" s="8">
        <f t="shared" si="1"/>
        <v>17.920000000000002</v>
      </c>
      <c r="D5" s="3" t="s">
        <v>18</v>
      </c>
      <c r="E5" s="19">
        <f t="shared" si="2"/>
        <v>358.40000000000003</v>
      </c>
      <c r="F5" s="8">
        <f t="shared" si="3"/>
        <v>17.920000000000002</v>
      </c>
      <c r="G5" s="3" t="s">
        <v>18</v>
      </c>
      <c r="H5" s="21">
        <f t="shared" si="4"/>
        <v>268.8</v>
      </c>
      <c r="I5" s="8">
        <f t="shared" si="5"/>
        <v>13.440000000000001</v>
      </c>
      <c r="J5" s="3" t="s">
        <v>18</v>
      </c>
      <c r="K5" s="9">
        <v>320</v>
      </c>
      <c r="L5" s="10">
        <v>320</v>
      </c>
      <c r="M5" s="11">
        <v>240</v>
      </c>
    </row>
    <row r="6" spans="1:13" x14ac:dyDescent="0.45">
      <c r="A6" s="2">
        <v>5</v>
      </c>
      <c r="B6" s="28">
        <f t="shared" si="0"/>
        <v>358.40000000000003</v>
      </c>
      <c r="C6" s="8">
        <f t="shared" si="1"/>
        <v>17.920000000000002</v>
      </c>
      <c r="D6" s="3" t="s">
        <v>18</v>
      </c>
      <c r="E6" s="19">
        <f t="shared" si="2"/>
        <v>358.40000000000003</v>
      </c>
      <c r="F6" s="8">
        <f>E6*5%</f>
        <v>17.920000000000002</v>
      </c>
      <c r="G6" s="3" t="s">
        <v>18</v>
      </c>
      <c r="H6" s="21">
        <f t="shared" si="4"/>
        <v>268.8</v>
      </c>
      <c r="I6" s="8">
        <f t="shared" si="5"/>
        <v>13.440000000000001</v>
      </c>
      <c r="J6" s="3" t="s">
        <v>18</v>
      </c>
      <c r="K6" s="9">
        <v>320</v>
      </c>
      <c r="L6" s="10">
        <v>320</v>
      </c>
      <c r="M6" s="11">
        <v>240</v>
      </c>
    </row>
    <row r="7" spans="1:13" x14ac:dyDescent="0.45">
      <c r="A7" s="2">
        <v>6</v>
      </c>
      <c r="B7" s="28">
        <f t="shared" si="0"/>
        <v>358.40000000000003</v>
      </c>
      <c r="C7" s="8">
        <f t="shared" si="1"/>
        <v>17.920000000000002</v>
      </c>
      <c r="D7" s="3" t="s">
        <v>18</v>
      </c>
      <c r="E7" s="19">
        <f t="shared" si="2"/>
        <v>358.40000000000003</v>
      </c>
      <c r="F7" s="8">
        <f t="shared" si="3"/>
        <v>17.920000000000002</v>
      </c>
      <c r="G7" s="3" t="s">
        <v>18</v>
      </c>
      <c r="H7" s="21">
        <f t="shared" si="4"/>
        <v>268.8</v>
      </c>
      <c r="I7" s="8">
        <f t="shared" si="5"/>
        <v>13.440000000000001</v>
      </c>
      <c r="J7" s="3" t="s">
        <v>18</v>
      </c>
      <c r="K7" s="9">
        <v>320</v>
      </c>
      <c r="L7" s="10">
        <v>320</v>
      </c>
      <c r="M7" s="11">
        <v>240</v>
      </c>
    </row>
    <row r="8" spans="1:13" x14ac:dyDescent="0.45">
      <c r="A8" s="2">
        <v>7</v>
      </c>
      <c r="B8" s="28">
        <f t="shared" si="0"/>
        <v>358.40000000000003</v>
      </c>
      <c r="C8" s="8">
        <f t="shared" si="1"/>
        <v>17.920000000000002</v>
      </c>
      <c r="D8" s="3" t="s">
        <v>18</v>
      </c>
      <c r="E8" s="19">
        <f t="shared" si="2"/>
        <v>358.40000000000003</v>
      </c>
      <c r="F8" s="8">
        <f t="shared" si="3"/>
        <v>17.920000000000002</v>
      </c>
      <c r="G8" s="3" t="s">
        <v>18</v>
      </c>
      <c r="H8" s="21">
        <f t="shared" si="4"/>
        <v>268.8</v>
      </c>
      <c r="I8" s="8">
        <f t="shared" si="5"/>
        <v>13.440000000000001</v>
      </c>
      <c r="J8" s="3" t="s">
        <v>18</v>
      </c>
      <c r="K8" s="9">
        <v>320</v>
      </c>
      <c r="L8" s="10">
        <v>320</v>
      </c>
      <c r="M8" s="11">
        <v>240</v>
      </c>
    </row>
    <row r="9" spans="1:13" x14ac:dyDescent="0.45">
      <c r="A9" s="2">
        <v>8</v>
      </c>
      <c r="B9" s="28">
        <f t="shared" si="0"/>
        <v>358.40000000000003</v>
      </c>
      <c r="C9" s="8">
        <f t="shared" si="1"/>
        <v>17.920000000000002</v>
      </c>
      <c r="D9" s="3" t="s">
        <v>18</v>
      </c>
      <c r="E9" s="19">
        <f t="shared" si="2"/>
        <v>358.40000000000003</v>
      </c>
      <c r="F9" s="8">
        <f t="shared" si="3"/>
        <v>17.920000000000002</v>
      </c>
      <c r="G9" s="3" t="s">
        <v>18</v>
      </c>
      <c r="H9" s="21">
        <f t="shared" si="4"/>
        <v>268.8</v>
      </c>
      <c r="I9" s="8">
        <f t="shared" si="5"/>
        <v>13.440000000000001</v>
      </c>
      <c r="J9" s="3" t="s">
        <v>18</v>
      </c>
      <c r="K9" s="9">
        <v>320</v>
      </c>
      <c r="L9" s="10">
        <v>320</v>
      </c>
      <c r="M9" s="11">
        <v>240</v>
      </c>
    </row>
    <row r="10" spans="1:13" x14ac:dyDescent="0.45">
      <c r="A10" s="2">
        <v>9</v>
      </c>
      <c r="B10" s="28">
        <f t="shared" si="0"/>
        <v>358.40000000000003</v>
      </c>
      <c r="C10" s="8">
        <f t="shared" si="1"/>
        <v>17.920000000000002</v>
      </c>
      <c r="D10" s="3" t="s">
        <v>18</v>
      </c>
      <c r="E10" s="19">
        <f t="shared" si="2"/>
        <v>358.40000000000003</v>
      </c>
      <c r="F10" s="8">
        <f t="shared" si="3"/>
        <v>17.920000000000002</v>
      </c>
      <c r="G10" s="3" t="s">
        <v>18</v>
      </c>
      <c r="H10" s="21">
        <f t="shared" si="4"/>
        <v>268.8</v>
      </c>
      <c r="I10" s="8">
        <f t="shared" si="5"/>
        <v>13.440000000000001</v>
      </c>
      <c r="J10" s="3" t="s">
        <v>18</v>
      </c>
      <c r="K10" s="9">
        <v>320</v>
      </c>
      <c r="L10" s="10">
        <v>320</v>
      </c>
      <c r="M10" s="11">
        <v>240</v>
      </c>
    </row>
    <row r="11" spans="1:13" x14ac:dyDescent="0.45">
      <c r="A11" s="2">
        <v>10</v>
      </c>
      <c r="B11" s="28">
        <f t="shared" si="0"/>
        <v>358.40000000000003</v>
      </c>
      <c r="C11" s="8">
        <f t="shared" si="1"/>
        <v>17.920000000000002</v>
      </c>
      <c r="D11" s="3" t="s">
        <v>18</v>
      </c>
      <c r="E11" s="19">
        <f t="shared" si="2"/>
        <v>358.40000000000003</v>
      </c>
      <c r="F11" s="8">
        <f t="shared" si="3"/>
        <v>17.920000000000002</v>
      </c>
      <c r="G11" s="3" t="s">
        <v>18</v>
      </c>
      <c r="H11" s="21">
        <f t="shared" si="4"/>
        <v>268.8</v>
      </c>
      <c r="I11" s="8">
        <f t="shared" si="5"/>
        <v>13.440000000000001</v>
      </c>
      <c r="J11" s="3" t="s">
        <v>18</v>
      </c>
      <c r="K11" s="9">
        <v>320</v>
      </c>
      <c r="L11" s="10">
        <v>320</v>
      </c>
      <c r="M11" s="11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C1D7-75F2-4ECD-8165-439BBECB938B}">
  <dimension ref="A1:O11"/>
  <sheetViews>
    <sheetView topLeftCell="C1" zoomScaleNormal="100" workbookViewId="0">
      <selection activeCell="O13" sqref="O13"/>
    </sheetView>
  </sheetViews>
  <sheetFormatPr defaultRowHeight="14.25" x14ac:dyDescent="0.45"/>
  <cols>
    <col min="1" max="1" width="10.1328125" bestFit="1" customWidth="1"/>
    <col min="2" max="2" width="12.265625" bestFit="1" customWidth="1"/>
    <col min="3" max="3" width="13.265625" bestFit="1" customWidth="1"/>
    <col min="4" max="4" width="11.53125" bestFit="1" customWidth="1"/>
    <col min="5" max="5" width="12.3984375" bestFit="1" customWidth="1"/>
    <col min="6" max="6" width="11.53125" bestFit="1" customWidth="1"/>
    <col min="7" max="7" width="14.9296875" customWidth="1"/>
    <col min="8" max="8" width="11.53125" bestFit="1" customWidth="1"/>
    <col min="9" max="9" width="16.46484375" bestFit="1" customWidth="1"/>
    <col min="10" max="10" width="13.59765625" style="6" bestFit="1" customWidth="1"/>
    <col min="11" max="11" width="14.46484375" style="6" bestFit="1" customWidth="1"/>
    <col min="12" max="12" width="12.19921875" bestFit="1" customWidth="1"/>
    <col min="13" max="13" width="13.265625" bestFit="1" customWidth="1"/>
    <col min="14" max="14" width="14.19921875" style="6" bestFit="1" customWidth="1"/>
    <col min="15" max="15" width="15.3984375" bestFit="1" customWidth="1"/>
  </cols>
  <sheetData>
    <row r="1" spans="1:15" x14ac:dyDescent="0.45">
      <c r="A1" s="1" t="s">
        <v>6</v>
      </c>
      <c r="B1" s="1" t="s">
        <v>42</v>
      </c>
      <c r="C1" s="1" t="s">
        <v>43</v>
      </c>
      <c r="D1" s="1" t="s">
        <v>38</v>
      </c>
      <c r="E1" s="1" t="s">
        <v>39</v>
      </c>
      <c r="F1" s="1" t="s">
        <v>30</v>
      </c>
      <c r="G1" s="1" t="s">
        <v>28</v>
      </c>
      <c r="H1" s="1" t="s">
        <v>31</v>
      </c>
      <c r="I1" s="1" t="s">
        <v>29</v>
      </c>
      <c r="J1" s="5" t="s">
        <v>32</v>
      </c>
      <c r="K1" s="5" t="s">
        <v>33</v>
      </c>
      <c r="L1" s="1" t="s">
        <v>35</v>
      </c>
      <c r="M1" s="1" t="s">
        <v>34</v>
      </c>
      <c r="N1" s="5" t="s">
        <v>36</v>
      </c>
      <c r="O1" s="1" t="s">
        <v>37</v>
      </c>
    </row>
    <row r="2" spans="1:15" ht="13.9" customHeight="1" x14ac:dyDescent="0.45">
      <c r="A2" s="2">
        <v>1</v>
      </c>
      <c r="B2" s="2">
        <v>40</v>
      </c>
      <c r="C2" s="2">
        <v>40</v>
      </c>
      <c r="D2" s="2">
        <f>Geometri!F2-Tulangan!B2-Tulangan!M2-0.5*Tulangan!G2</f>
        <v>242</v>
      </c>
      <c r="E2" s="2">
        <f>C2+M2+0.5*I2</f>
        <v>58</v>
      </c>
      <c r="F2" s="2">
        <v>3</v>
      </c>
      <c r="G2" s="3">
        <v>16</v>
      </c>
      <c r="H2" s="2">
        <v>3</v>
      </c>
      <c r="I2" s="3">
        <v>16</v>
      </c>
      <c r="J2" s="22">
        <f t="shared" ref="J2:J6" si="0">F2*(1/4)*PI()*G2^2</f>
        <v>603.18578948924028</v>
      </c>
      <c r="K2" s="22">
        <f>H2*(1/4)*PI()*I2^2</f>
        <v>603.18578948924028</v>
      </c>
      <c r="L2" s="3">
        <v>2</v>
      </c>
      <c r="M2" s="3">
        <v>10</v>
      </c>
      <c r="N2" s="22">
        <f>L2*(1/4)*PI()*M2^2</f>
        <v>157.07963267948966</v>
      </c>
      <c r="O2" s="3">
        <v>200</v>
      </c>
    </row>
    <row r="3" spans="1:15" ht="13.9" customHeight="1" x14ac:dyDescent="0.45">
      <c r="A3" s="2">
        <v>2</v>
      </c>
      <c r="B3" s="2">
        <v>40</v>
      </c>
      <c r="C3" s="2">
        <v>40</v>
      </c>
      <c r="D3" s="2">
        <f>Geometri!F3-Tulangan!B3-Tulangan!M3-0.5*Tulangan!G3</f>
        <v>242</v>
      </c>
      <c r="E3" s="2">
        <f t="shared" ref="E3:E11" si="1">C3+M3+0.5*I3</f>
        <v>58</v>
      </c>
      <c r="F3" s="2">
        <v>3</v>
      </c>
      <c r="G3" s="3">
        <v>16</v>
      </c>
      <c r="H3" s="2">
        <v>3</v>
      </c>
      <c r="I3" s="3">
        <v>16</v>
      </c>
      <c r="J3" s="22">
        <f t="shared" si="0"/>
        <v>603.18578948924028</v>
      </c>
      <c r="K3" s="22">
        <f t="shared" ref="K3:K6" si="2">H3*(1/4)*PI()*I3^2</f>
        <v>603.18578948924028</v>
      </c>
      <c r="L3" s="3">
        <v>2</v>
      </c>
      <c r="M3" s="3">
        <v>10</v>
      </c>
      <c r="N3" s="22">
        <f t="shared" ref="N3:N11" si="3">L3*(1/4)*PI()*M3^2</f>
        <v>157.07963267948966</v>
      </c>
      <c r="O3" s="3">
        <v>200</v>
      </c>
    </row>
    <row r="4" spans="1:15" ht="13.9" customHeight="1" x14ac:dyDescent="0.45">
      <c r="A4" s="2">
        <v>3</v>
      </c>
      <c r="B4" s="2">
        <v>40</v>
      </c>
      <c r="C4" s="2">
        <v>40</v>
      </c>
      <c r="D4" s="2">
        <f>Geometri!F4-Tulangan!B4-Tulangan!M4-0.5*Tulangan!G4</f>
        <v>242</v>
      </c>
      <c r="E4" s="2">
        <f t="shared" si="1"/>
        <v>58</v>
      </c>
      <c r="F4" s="2">
        <v>3</v>
      </c>
      <c r="G4" s="3">
        <v>16</v>
      </c>
      <c r="H4" s="2">
        <v>3</v>
      </c>
      <c r="I4" s="3">
        <v>16</v>
      </c>
      <c r="J4" s="22">
        <f t="shared" si="0"/>
        <v>603.18578948924028</v>
      </c>
      <c r="K4" s="22">
        <f t="shared" si="2"/>
        <v>603.18578948924028</v>
      </c>
      <c r="L4" s="3">
        <v>2</v>
      </c>
      <c r="M4" s="3">
        <v>10</v>
      </c>
      <c r="N4" s="22">
        <f t="shared" si="3"/>
        <v>157.07963267948966</v>
      </c>
      <c r="O4" s="3">
        <v>200</v>
      </c>
    </row>
    <row r="5" spans="1:15" ht="13.9" customHeight="1" x14ac:dyDescent="0.45">
      <c r="A5" s="2">
        <v>4</v>
      </c>
      <c r="B5" s="2">
        <v>40</v>
      </c>
      <c r="C5" s="2">
        <v>40</v>
      </c>
      <c r="D5" s="2">
        <f>Geometri!F5-Tulangan!B5-Tulangan!M5-0.5*Tulangan!G5</f>
        <v>242</v>
      </c>
      <c r="E5" s="2">
        <f t="shared" si="1"/>
        <v>58</v>
      </c>
      <c r="F5" s="2">
        <v>3</v>
      </c>
      <c r="G5" s="3">
        <v>16</v>
      </c>
      <c r="H5" s="2">
        <v>3</v>
      </c>
      <c r="I5" s="3">
        <v>16</v>
      </c>
      <c r="J5" s="22">
        <f t="shared" si="0"/>
        <v>603.18578948924028</v>
      </c>
      <c r="K5" s="22">
        <f t="shared" si="2"/>
        <v>603.18578948924028</v>
      </c>
      <c r="L5" s="3">
        <v>2</v>
      </c>
      <c r="M5" s="3">
        <v>10</v>
      </c>
      <c r="N5" s="22">
        <f t="shared" si="3"/>
        <v>157.07963267948966</v>
      </c>
      <c r="O5" s="3">
        <v>200</v>
      </c>
    </row>
    <row r="6" spans="1:15" ht="13.9" customHeight="1" x14ac:dyDescent="0.45">
      <c r="A6" s="2">
        <v>5</v>
      </c>
      <c r="B6" s="2">
        <v>40</v>
      </c>
      <c r="C6" s="2">
        <v>40</v>
      </c>
      <c r="D6" s="2">
        <f>Geometri!F6-Tulangan!B6-Tulangan!M6-0.5*Tulangan!G6</f>
        <v>242</v>
      </c>
      <c r="E6" s="2">
        <f t="shared" si="1"/>
        <v>58</v>
      </c>
      <c r="F6" s="2">
        <v>3</v>
      </c>
      <c r="G6" s="3">
        <v>16</v>
      </c>
      <c r="H6" s="2">
        <v>3</v>
      </c>
      <c r="I6" s="3">
        <v>16</v>
      </c>
      <c r="J6" s="22">
        <f t="shared" si="0"/>
        <v>603.18578948924028</v>
      </c>
      <c r="K6" s="22">
        <f t="shared" si="2"/>
        <v>603.18578948924028</v>
      </c>
      <c r="L6" s="3">
        <v>2</v>
      </c>
      <c r="M6" s="3">
        <v>10</v>
      </c>
      <c r="N6" s="22">
        <f t="shared" si="3"/>
        <v>157.07963267948966</v>
      </c>
      <c r="O6" s="3">
        <v>200</v>
      </c>
    </row>
    <row r="7" spans="1:15" ht="13.9" customHeight="1" x14ac:dyDescent="0.45">
      <c r="A7" s="2">
        <v>6</v>
      </c>
      <c r="B7" s="2">
        <v>40</v>
      </c>
      <c r="C7" s="2">
        <v>40</v>
      </c>
      <c r="D7" s="2">
        <f>Geometri!F7-Tulangan!B7-Tulangan!M7-0.5*Tulangan!G7</f>
        <v>242</v>
      </c>
      <c r="E7" s="2">
        <f t="shared" si="1"/>
        <v>58</v>
      </c>
      <c r="F7" s="2">
        <v>3</v>
      </c>
      <c r="G7" s="3">
        <v>16</v>
      </c>
      <c r="H7" s="2">
        <v>3</v>
      </c>
      <c r="I7" s="3">
        <v>16</v>
      </c>
      <c r="J7" s="22">
        <f>F7*(1/4)*PI()*G7^2</f>
        <v>603.18578948924028</v>
      </c>
      <c r="K7" s="22">
        <f>H7*(1/4)*PI()*I7^2</f>
        <v>603.18578948924028</v>
      </c>
      <c r="L7" s="3">
        <v>2</v>
      </c>
      <c r="M7" s="3">
        <v>10</v>
      </c>
      <c r="N7" s="22">
        <f t="shared" si="3"/>
        <v>157.07963267948966</v>
      </c>
      <c r="O7" s="3">
        <v>200</v>
      </c>
    </row>
    <row r="8" spans="1:15" ht="13.9" customHeight="1" x14ac:dyDescent="0.45">
      <c r="A8" s="2">
        <v>7</v>
      </c>
      <c r="B8" s="12">
        <v>40</v>
      </c>
      <c r="C8" s="13">
        <v>40</v>
      </c>
      <c r="D8" s="12">
        <f>Geometri!F8-Tulangan!B8-Tulangan!M8-0.5*Tulangan!G8</f>
        <v>442</v>
      </c>
      <c r="E8" s="13">
        <f t="shared" si="1"/>
        <v>58</v>
      </c>
      <c r="F8" s="12">
        <v>6</v>
      </c>
      <c r="G8" s="3">
        <v>16</v>
      </c>
      <c r="H8" s="12">
        <v>3</v>
      </c>
      <c r="I8" s="3">
        <v>16</v>
      </c>
      <c r="J8" s="14">
        <f>F8*(1/4)*PI()*G8^2</f>
        <v>1206.3715789784806</v>
      </c>
      <c r="K8" s="15">
        <f>H8*(1/4)*PI()*I8^2</f>
        <v>603.18578948924028</v>
      </c>
      <c r="L8" s="16">
        <v>2</v>
      </c>
      <c r="M8" s="17">
        <v>10</v>
      </c>
      <c r="N8" s="18">
        <f t="shared" si="3"/>
        <v>157.07963267948966</v>
      </c>
      <c r="O8" s="3">
        <v>200</v>
      </c>
    </row>
    <row r="9" spans="1:15" ht="13.9" customHeight="1" x14ac:dyDescent="0.45">
      <c r="A9" s="2">
        <v>8</v>
      </c>
      <c r="B9" s="12">
        <v>40</v>
      </c>
      <c r="C9" s="13">
        <v>40</v>
      </c>
      <c r="D9" s="12">
        <f>Geometri!F9-Tulangan!B9-Tulangan!M9-0.5*Tulangan!G9</f>
        <v>442</v>
      </c>
      <c r="E9" s="13">
        <f t="shared" si="1"/>
        <v>58</v>
      </c>
      <c r="F9" s="12">
        <v>6</v>
      </c>
      <c r="G9" s="3">
        <v>16</v>
      </c>
      <c r="H9" s="12">
        <v>3</v>
      </c>
      <c r="I9" s="3">
        <v>16</v>
      </c>
      <c r="J9" s="14">
        <f t="shared" ref="J9" si="4">F9*(1/4)*PI()*G9^2</f>
        <v>1206.3715789784806</v>
      </c>
      <c r="K9" s="15">
        <f>H9*(1/4)*PI()*I9^2</f>
        <v>603.18578948924028</v>
      </c>
      <c r="L9" s="16">
        <v>2</v>
      </c>
      <c r="M9" s="17">
        <v>10</v>
      </c>
      <c r="N9" s="18">
        <f t="shared" si="3"/>
        <v>157.07963267948966</v>
      </c>
      <c r="O9" s="3">
        <v>200</v>
      </c>
    </row>
    <row r="10" spans="1:15" ht="13.9" customHeight="1" x14ac:dyDescent="0.45">
      <c r="A10" s="2">
        <v>9</v>
      </c>
      <c r="B10" s="12">
        <v>40</v>
      </c>
      <c r="C10" s="13">
        <v>40</v>
      </c>
      <c r="D10" s="12">
        <f>Geometri!F10-Tulangan!B10-Tulangan!M10-0.5*Tulangan!G10</f>
        <v>292</v>
      </c>
      <c r="E10" s="13">
        <f t="shared" si="1"/>
        <v>58</v>
      </c>
      <c r="F10" s="12">
        <v>4</v>
      </c>
      <c r="G10" s="3">
        <v>16</v>
      </c>
      <c r="H10" s="12">
        <v>2</v>
      </c>
      <c r="I10" s="3">
        <v>16</v>
      </c>
      <c r="J10" s="14">
        <f>F10*(1/4)*PI()*G10^2</f>
        <v>804.24771931898704</v>
      </c>
      <c r="K10" s="15">
        <f>H10*(1/4)*PI()*I10^2</f>
        <v>402.12385965949352</v>
      </c>
      <c r="L10" s="16">
        <v>2</v>
      </c>
      <c r="M10" s="17">
        <v>10</v>
      </c>
      <c r="N10" s="18">
        <f t="shared" si="3"/>
        <v>157.07963267948966</v>
      </c>
      <c r="O10" s="3">
        <v>200</v>
      </c>
    </row>
    <row r="11" spans="1:15" ht="13.9" customHeight="1" x14ac:dyDescent="0.45">
      <c r="A11" s="2">
        <v>10</v>
      </c>
      <c r="B11" s="12">
        <v>40</v>
      </c>
      <c r="C11" s="13">
        <v>40</v>
      </c>
      <c r="D11" s="12">
        <f>Geometri!F11-Tulangan!B11-Tulangan!M11-0.5*Tulangan!G11</f>
        <v>292</v>
      </c>
      <c r="E11" s="13">
        <f t="shared" si="1"/>
        <v>58</v>
      </c>
      <c r="F11" s="12">
        <v>4</v>
      </c>
      <c r="G11" s="3">
        <v>16</v>
      </c>
      <c r="H11" s="12">
        <v>2</v>
      </c>
      <c r="I11" s="3">
        <v>16</v>
      </c>
      <c r="J11" s="14">
        <f>F11*(1/4)*PI()*G11^2</f>
        <v>804.24771931898704</v>
      </c>
      <c r="K11" s="15">
        <f>H11*(1/4)*PI()*I11^2</f>
        <v>402.12385965949352</v>
      </c>
      <c r="L11" s="16">
        <v>2</v>
      </c>
      <c r="M11" s="17">
        <v>10</v>
      </c>
      <c r="N11" s="18">
        <f t="shared" si="3"/>
        <v>157.07963267948966</v>
      </c>
      <c r="O11" s="3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I10" sqref="I10"/>
    </sheetView>
  </sheetViews>
  <sheetFormatPr defaultRowHeight="14.25" x14ac:dyDescent="0.45"/>
  <cols>
    <col min="1" max="4" width="15" customWidth="1"/>
    <col min="5" max="5" width="18.19921875" customWidth="1"/>
  </cols>
  <sheetData>
    <row r="1" spans="1:5" x14ac:dyDescent="0.45">
      <c r="A1" s="1" t="s">
        <v>6</v>
      </c>
      <c r="B1" s="1" t="s">
        <v>19</v>
      </c>
      <c r="C1" s="1" t="s">
        <v>20</v>
      </c>
      <c r="D1" s="1" t="s">
        <v>15</v>
      </c>
      <c r="E1" s="1" t="s">
        <v>21</v>
      </c>
    </row>
    <row r="2" spans="1:5" x14ac:dyDescent="0.45">
      <c r="A2" s="3">
        <v>7</v>
      </c>
      <c r="B2" s="8">
        <v>35.200000000000003</v>
      </c>
      <c r="C2" s="8">
        <f>20%*B2</f>
        <v>7.0400000000000009</v>
      </c>
      <c r="D2" s="3" t="s">
        <v>18</v>
      </c>
      <c r="E2" s="8">
        <f>B2</f>
        <v>35.200000000000003</v>
      </c>
    </row>
    <row r="3" spans="1:5" x14ac:dyDescent="0.45">
      <c r="A3" s="3">
        <v>8</v>
      </c>
      <c r="B3" s="8">
        <v>35.200000000000003</v>
      </c>
      <c r="C3" s="8">
        <f t="shared" ref="C3" si="0">20%*B3</f>
        <v>7.0400000000000009</v>
      </c>
      <c r="D3" s="3" t="s">
        <v>18</v>
      </c>
      <c r="E3" s="8">
        <f t="shared" ref="E3" si="1">B3</f>
        <v>35.200000000000003</v>
      </c>
    </row>
    <row r="4" spans="1:5" x14ac:dyDescent="0.45">
      <c r="A4" s="3">
        <v>9</v>
      </c>
      <c r="B4" s="8">
        <v>7.38</v>
      </c>
      <c r="C4" s="8">
        <f>20%*B4</f>
        <v>1.476</v>
      </c>
      <c r="D4" s="3" t="s">
        <v>18</v>
      </c>
      <c r="E4" s="8">
        <f>B4</f>
        <v>7.38</v>
      </c>
    </row>
    <row r="5" spans="1:5" x14ac:dyDescent="0.45">
      <c r="A5" s="3">
        <v>10</v>
      </c>
      <c r="B5" s="8">
        <v>7.38</v>
      </c>
      <c r="C5" s="8">
        <f>20%*B5</f>
        <v>1.476</v>
      </c>
      <c r="D5" s="3" t="s">
        <v>18</v>
      </c>
      <c r="E5" s="8">
        <f>B5</f>
        <v>7.38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B4" sqref="B4:B5"/>
    </sheetView>
  </sheetViews>
  <sheetFormatPr defaultRowHeight="14.25" x14ac:dyDescent="0.45"/>
  <cols>
    <col min="1" max="4" width="15" customWidth="1"/>
    <col min="5" max="5" width="18" bestFit="1" customWidth="1"/>
  </cols>
  <sheetData>
    <row r="1" spans="1:5" x14ac:dyDescent="0.45">
      <c r="A1" s="1" t="s">
        <v>6</v>
      </c>
      <c r="B1" s="1" t="s">
        <v>19</v>
      </c>
      <c r="C1" s="1" t="s">
        <v>20</v>
      </c>
      <c r="D1" s="1" t="s">
        <v>15</v>
      </c>
      <c r="E1" s="1" t="s">
        <v>21</v>
      </c>
    </row>
    <row r="2" spans="1:5" x14ac:dyDescent="0.45">
      <c r="A2" s="3">
        <v>7</v>
      </c>
      <c r="B2" s="8">
        <v>28.74</v>
      </c>
      <c r="C2" s="8">
        <f>20%*B2</f>
        <v>5.7480000000000002</v>
      </c>
      <c r="D2" s="3" t="s">
        <v>17</v>
      </c>
      <c r="E2" s="8">
        <f>B2</f>
        <v>28.74</v>
      </c>
    </row>
    <row r="3" spans="1:5" x14ac:dyDescent="0.45">
      <c r="A3" s="3">
        <v>8</v>
      </c>
      <c r="B3" s="8">
        <v>28.74</v>
      </c>
      <c r="C3" s="8">
        <f>20%*B3</f>
        <v>5.7480000000000002</v>
      </c>
      <c r="D3" s="3" t="s">
        <v>17</v>
      </c>
      <c r="E3" s="8">
        <f t="shared" ref="E3:E5" si="0">B3</f>
        <v>28.74</v>
      </c>
    </row>
    <row r="4" spans="1:5" x14ac:dyDescent="0.45">
      <c r="A4" s="3">
        <v>9</v>
      </c>
      <c r="B4" s="8">
        <v>8.16</v>
      </c>
      <c r="C4" s="8">
        <f>20%*B4</f>
        <v>1.6320000000000001</v>
      </c>
      <c r="D4" s="3" t="s">
        <v>17</v>
      </c>
      <c r="E4" s="8">
        <f t="shared" si="0"/>
        <v>8.16</v>
      </c>
    </row>
    <row r="5" spans="1:5" x14ac:dyDescent="0.45">
      <c r="A5" s="3">
        <v>10</v>
      </c>
      <c r="B5" s="8">
        <v>8.16</v>
      </c>
      <c r="C5" s="8">
        <f>20%*B5</f>
        <v>1.6320000000000001</v>
      </c>
      <c r="D5" s="3" t="s">
        <v>17</v>
      </c>
      <c r="E5" s="8">
        <f t="shared" si="0"/>
        <v>8.16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J20" sqref="J20"/>
    </sheetView>
  </sheetViews>
  <sheetFormatPr defaultRowHeight="14.25" x14ac:dyDescent="0.45"/>
  <cols>
    <col min="1" max="4" width="1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>
        <v>0</v>
      </c>
      <c r="C2" s="3">
        <v>0</v>
      </c>
      <c r="D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Nodes</vt:lpstr>
      <vt:lpstr>Geometri</vt:lpstr>
      <vt:lpstr>Boundary_Condition</vt:lpstr>
      <vt:lpstr>Mutu_Beton</vt:lpstr>
      <vt:lpstr>Mutu_Baja</vt:lpstr>
      <vt:lpstr>Tulangan</vt:lpstr>
      <vt:lpstr>Beban_Mati</vt:lpstr>
      <vt:lpstr>Beban_Hidup</vt:lpstr>
      <vt:lpstr>Beban_Nodal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Darmansyah Tjitradi</cp:lastModifiedBy>
  <dcterms:created xsi:type="dcterms:W3CDTF">2026-03-17T00:32:31Z</dcterms:created>
  <dcterms:modified xsi:type="dcterms:W3CDTF">2026-03-31T08:37:14Z</dcterms:modified>
</cp:coreProperties>
</file>